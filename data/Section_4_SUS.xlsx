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 Raw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3" customWidth="1" min="12" max="12"/>
  </cols>
  <sheetData>
    <row r="1" ht="42" customHeight="1">
      <c r="A1" s="1" t="inlineStr">
        <is>
          <t>Participant</t>
        </is>
      </c>
      <c r="B1" s="1" t="inlineStr">
        <is>
          <t>Q1
Frequently use</t>
        </is>
      </c>
      <c r="C1" s="1" t="inlineStr">
        <is>
          <t>Q2
Unnecessarily complex</t>
        </is>
      </c>
      <c r="D1" s="1" t="inlineStr">
        <is>
          <t>Q3
Easy to use</t>
        </is>
      </c>
      <c r="E1" s="1" t="inlineStr">
        <is>
          <t>Q4
Need technical support</t>
        </is>
      </c>
      <c r="F1" s="1" t="inlineStr">
        <is>
          <t>Q5
Functions integrated</t>
        </is>
      </c>
      <c r="G1" s="1" t="inlineStr">
        <is>
          <t>Q6
Too inconsistent</t>
        </is>
      </c>
      <c r="H1" s="1" t="inlineStr">
        <is>
          <t>Q7
Learn quickly</t>
        </is>
      </c>
      <c r="I1" s="1" t="inlineStr">
        <is>
          <t>Q8
Cumbersome</t>
        </is>
      </c>
      <c r="J1" s="1" t="inlineStr">
        <is>
          <t>Q9
Confident using</t>
        </is>
      </c>
      <c r="K1" s="1" t="inlineStr">
        <is>
          <t>Q10
Need to learn a lot</t>
        </is>
      </c>
      <c r="L1" s="1" t="inlineStr">
        <is>
          <t>SUS Score</t>
        </is>
      </c>
    </row>
    <row r="2">
      <c r="A2" s="2" t="inlineStr">
        <is>
          <t>P01</t>
        </is>
      </c>
      <c r="B2" s="2" t="n">
        <v>3</v>
      </c>
      <c r="C2" s="2" t="n">
        <v>3</v>
      </c>
      <c r="D2" s="2" t="n">
        <v>2</v>
      </c>
      <c r="E2" s="2" t="n">
        <v>3</v>
      </c>
      <c r="F2" s="2" t="n">
        <v>3</v>
      </c>
      <c r="G2" s="2" t="n">
        <v>3</v>
      </c>
      <c r="H2" s="2" t="n">
        <v>2</v>
      </c>
      <c r="I2" s="2" t="n">
        <v>3</v>
      </c>
      <c r="J2" s="2" t="n">
        <v>2</v>
      </c>
      <c r="K2" s="2" t="n">
        <v>3</v>
      </c>
      <c r="L2" s="3">
        <f>((B2-1)+(5-C2)+(D2-1)+(5-E2)+(F2-1)+(5-G2)+(H2-1)+(5-I2)+(J2-1)+(5-K2))*2.5</f>
        <v/>
      </c>
    </row>
    <row r="3">
      <c r="A3" s="2" t="inlineStr">
        <is>
          <t>P02</t>
        </is>
      </c>
      <c r="B3" s="2" t="n">
        <v>3</v>
      </c>
      <c r="C3" s="2" t="n">
        <v>2</v>
      </c>
      <c r="D3" s="2" t="n">
        <v>2</v>
      </c>
      <c r="E3" s="2" t="n">
        <v>3</v>
      </c>
      <c r="F3" s="2" t="n">
        <v>4</v>
      </c>
      <c r="G3" s="2" t="n">
        <v>2</v>
      </c>
      <c r="H3" s="2" t="n">
        <v>2</v>
      </c>
      <c r="I3" s="2" t="n">
        <v>2</v>
      </c>
      <c r="J3" s="2" t="n">
        <v>2</v>
      </c>
      <c r="K3" s="2" t="n">
        <v>3</v>
      </c>
      <c r="L3" s="3">
        <f>((B3-1)+(5-C3)+(D3-1)+(5-E3)+(F3-1)+(5-G3)+(H3-1)+(5-I3)+(J3-1)+(5-K3))*2.5</f>
        <v/>
      </c>
    </row>
    <row r="4">
      <c r="A4" s="2" t="inlineStr">
        <is>
          <t>P03</t>
        </is>
      </c>
      <c r="B4" s="2" t="n">
        <v>1</v>
      </c>
      <c r="C4" s="2" t="n">
        <v>4</v>
      </c>
      <c r="D4" s="2" t="n">
        <v>1</v>
      </c>
      <c r="E4" s="2" t="n">
        <v>1</v>
      </c>
      <c r="F4" s="2" t="n">
        <v>3</v>
      </c>
      <c r="G4" s="2" t="n">
        <v>4</v>
      </c>
      <c r="H4" s="2" t="n">
        <v>1</v>
      </c>
      <c r="I4" s="2" t="n">
        <v>5</v>
      </c>
      <c r="J4" s="2" t="n">
        <v>1</v>
      </c>
      <c r="K4" s="2" t="n">
        <v>3</v>
      </c>
      <c r="L4" s="3">
        <f>((B4-1)+(5-C4)+(D4-1)+(5-E4)+(F4-1)+(5-G4)+(H4-1)+(5-I4)+(J4-1)+(5-K4))*2.5</f>
        <v/>
      </c>
    </row>
    <row r="5">
      <c r="A5" s="2" t="inlineStr">
        <is>
          <t>P04</t>
        </is>
      </c>
      <c r="B5" s="2" t="n">
        <v>3</v>
      </c>
      <c r="C5" s="2" t="n">
        <v>4</v>
      </c>
      <c r="D5" s="2" t="n">
        <v>2</v>
      </c>
      <c r="E5" s="2" t="n">
        <v>3</v>
      </c>
      <c r="F5" s="2" t="n">
        <v>2</v>
      </c>
      <c r="G5" s="2" t="n">
        <v>4</v>
      </c>
      <c r="H5" s="2" t="n">
        <v>1</v>
      </c>
      <c r="I5" s="2" t="n">
        <v>5</v>
      </c>
      <c r="J5" s="2" t="n">
        <v>2</v>
      </c>
      <c r="K5" s="2" t="n">
        <v>3</v>
      </c>
      <c r="L5" s="3">
        <f>((B5-1)+(5-C5)+(D5-1)+(5-E5)+(F5-1)+(5-G5)+(H5-1)+(5-I5)+(J5-1)+(5-K5))*2.5</f>
        <v/>
      </c>
    </row>
    <row r="6">
      <c r="A6" s="2" t="inlineStr">
        <is>
          <t>P05</t>
        </is>
      </c>
      <c r="B6" s="2" t="n">
        <v>3</v>
      </c>
      <c r="C6" s="2" t="n">
        <v>2</v>
      </c>
      <c r="D6" s="2" t="n">
        <v>5</v>
      </c>
      <c r="E6" s="2" t="n">
        <v>3</v>
      </c>
      <c r="F6" s="2" t="n">
        <v>3</v>
      </c>
      <c r="G6" s="2" t="n">
        <v>3</v>
      </c>
      <c r="H6" s="2" t="n">
        <v>4</v>
      </c>
      <c r="I6" s="2" t="n">
        <v>1</v>
      </c>
      <c r="J6" s="2" t="n">
        <v>4</v>
      </c>
      <c r="K6" s="2" t="n">
        <v>1</v>
      </c>
      <c r="L6" s="3">
        <f>((B6-1)+(5-C6)+(D6-1)+(5-E6)+(F6-1)+(5-G6)+(H6-1)+(5-I6)+(J6-1)+(5-K6))*2.5</f>
        <v/>
      </c>
    </row>
    <row r="7">
      <c r="A7" s="2" t="inlineStr">
        <is>
          <t>P06</t>
        </is>
      </c>
      <c r="B7" s="2" t="n">
        <v>2</v>
      </c>
      <c r="C7" s="2" t="n">
        <v>1</v>
      </c>
      <c r="D7" s="2" t="n">
        <v>3</v>
      </c>
      <c r="E7" s="2" t="n">
        <v>1</v>
      </c>
      <c r="F7" s="2" t="n">
        <v>4</v>
      </c>
      <c r="G7" s="2" t="n">
        <v>2</v>
      </c>
      <c r="H7" s="2" t="n">
        <v>4</v>
      </c>
      <c r="I7" s="2" t="n">
        <v>3</v>
      </c>
      <c r="J7" s="2" t="n">
        <v>5</v>
      </c>
      <c r="K7" s="2" t="n">
        <v>2</v>
      </c>
      <c r="L7" s="3">
        <f>((B7-1)+(5-C7)+(D7-1)+(5-E7)+(F7-1)+(5-G7)+(H7-1)+(5-I7)+(J7-1)+(5-K7))*2.5</f>
        <v/>
      </c>
    </row>
    <row r="8">
      <c r="A8" s="2" t="inlineStr">
        <is>
          <t>P07</t>
        </is>
      </c>
      <c r="B8" s="2" t="n">
        <v>2</v>
      </c>
      <c r="C8" s="2" t="n">
        <v>2</v>
      </c>
      <c r="D8" s="2" t="n">
        <v>4</v>
      </c>
      <c r="E8" s="2" t="n">
        <v>3</v>
      </c>
      <c r="F8" s="2" t="n">
        <v>3</v>
      </c>
      <c r="G8" s="2" t="n">
        <v>2</v>
      </c>
      <c r="H8" s="2" t="n">
        <v>4</v>
      </c>
      <c r="I8" s="2" t="n">
        <v>2</v>
      </c>
      <c r="J8" s="2" t="n">
        <v>3</v>
      </c>
      <c r="K8" s="2" t="n">
        <v>1</v>
      </c>
      <c r="L8" s="3">
        <f>((B8-1)+(5-C8)+(D8-1)+(5-E8)+(F8-1)+(5-G8)+(H8-1)+(5-I8)+(J8-1)+(5-K8))*2.5</f>
        <v/>
      </c>
    </row>
    <row r="9">
      <c r="A9" s="2" t="inlineStr">
        <is>
          <t>P08</t>
        </is>
      </c>
      <c r="B9" s="2" t="n">
        <v>1</v>
      </c>
      <c r="C9" s="2" t="n">
        <v>1</v>
      </c>
      <c r="D9" s="2" t="n">
        <v>4</v>
      </c>
      <c r="E9" s="2" t="n">
        <v>1</v>
      </c>
      <c r="F9" s="2" t="n">
        <v>4</v>
      </c>
      <c r="G9" s="2" t="n">
        <v>2</v>
      </c>
      <c r="H9" s="2" t="n">
        <v>5</v>
      </c>
      <c r="I9" s="2" t="n">
        <v>1</v>
      </c>
      <c r="J9" s="2" t="n">
        <v>5</v>
      </c>
      <c r="K9" s="2" t="n">
        <v>1</v>
      </c>
      <c r="L9" s="3">
        <f>((B9-1)+(5-C9)+(D9-1)+(5-E9)+(F9-1)+(5-G9)+(H9-1)+(5-I9)+(J9-1)+(5-K9))*2.5</f>
        <v/>
      </c>
    </row>
    <row r="10">
      <c r="A10" s="2" t="inlineStr">
        <is>
          <t>P09</t>
        </is>
      </c>
      <c r="B10" s="2" t="n">
        <v>3</v>
      </c>
      <c r="C10" s="2" t="n">
        <v>4</v>
      </c>
      <c r="D10" s="2" t="n">
        <v>1</v>
      </c>
      <c r="E10" s="2" t="n">
        <v>2</v>
      </c>
      <c r="F10" s="2" t="n">
        <v>3</v>
      </c>
      <c r="G10" s="2" t="n">
        <v>5</v>
      </c>
      <c r="H10" s="2" t="n">
        <v>1</v>
      </c>
      <c r="I10" s="2" t="n">
        <v>5</v>
      </c>
      <c r="J10" s="2" t="n">
        <v>3</v>
      </c>
      <c r="K10" s="2" t="n">
        <v>2</v>
      </c>
      <c r="L10" s="3">
        <f>((B10-1)+(5-C10)+(D10-1)+(5-E10)+(F10-1)+(5-G10)+(H10-1)+(5-I10)+(J10-1)+(5-K10))*2.5</f>
        <v/>
      </c>
    </row>
    <row r="11">
      <c r="A11" s="2" t="inlineStr">
        <is>
          <t>P10</t>
        </is>
      </c>
      <c r="B11" s="2" t="n">
        <v>1</v>
      </c>
      <c r="C11" s="2" t="n">
        <v>3</v>
      </c>
      <c r="D11" s="2" t="n">
        <v>1</v>
      </c>
      <c r="E11" s="2" t="n">
        <v>4</v>
      </c>
      <c r="F11" s="2" t="n">
        <v>3</v>
      </c>
      <c r="G11" s="2" t="n">
        <v>2</v>
      </c>
      <c r="H11" s="2" t="n">
        <v>1</v>
      </c>
      <c r="I11" s="2" t="n">
        <v>4</v>
      </c>
      <c r="J11" s="2" t="n">
        <v>3</v>
      </c>
      <c r="K11" s="2" t="n">
        <v>1</v>
      </c>
      <c r="L11" s="3">
        <f>((B11-1)+(5-C11)+(D11-1)+(5-E11)+(F11-1)+(5-G11)+(H11-1)+(5-I11)+(J11-1)+(5-K11))*2.5</f>
        <v/>
      </c>
    </row>
    <row r="12">
      <c r="A12" s="2" t="inlineStr">
        <is>
          <t>P11</t>
        </is>
      </c>
      <c r="B12" s="2" t="n">
        <v>3</v>
      </c>
      <c r="C12" s="2" t="n">
        <v>1</v>
      </c>
      <c r="D12" s="2" t="n">
        <v>5</v>
      </c>
      <c r="E12" s="2" t="n">
        <v>1</v>
      </c>
      <c r="F12" s="2" t="n">
        <v>5</v>
      </c>
      <c r="G12" s="2" t="n">
        <v>1</v>
      </c>
      <c r="H12" s="2" t="n">
        <v>5</v>
      </c>
      <c r="I12" s="2" t="n">
        <v>5</v>
      </c>
      <c r="J12" s="2" t="n">
        <v>4</v>
      </c>
      <c r="K12" s="2" t="n">
        <v>1</v>
      </c>
      <c r="L12" s="3">
        <f>((B12-1)+(5-C12)+(D12-1)+(5-E12)+(F12-1)+(5-G12)+(H12-1)+(5-I12)+(J12-1)+(5-K12))*2.5</f>
        <v/>
      </c>
    </row>
    <row r="13">
      <c r="A13" s="2" t="inlineStr">
        <is>
          <t>P12</t>
        </is>
      </c>
      <c r="B13" s="2" t="n">
        <v>3</v>
      </c>
      <c r="C13" s="2" t="n">
        <v>2</v>
      </c>
      <c r="D13" s="2" t="n">
        <v>3</v>
      </c>
      <c r="E13" s="2" t="n">
        <v>2</v>
      </c>
      <c r="F13" s="2" t="n">
        <v>3</v>
      </c>
      <c r="G13" s="2" t="n">
        <v>2</v>
      </c>
      <c r="H13" s="2" t="n">
        <v>1</v>
      </c>
      <c r="I13" s="2" t="n">
        <v>3</v>
      </c>
      <c r="J13" s="2" t="n">
        <v>2</v>
      </c>
      <c r="K13" s="2" t="n">
        <v>1</v>
      </c>
      <c r="L13" s="3">
        <f>((B13-1)+(5-C13)+(D13-1)+(5-E13)+(F13-1)+(5-G13)+(H13-1)+(5-I13)+(J13-1)+(5-K13))*2.5</f>
        <v/>
      </c>
    </row>
    <row r="14">
      <c r="A14" s="2" t="inlineStr">
        <is>
          <t>P13</t>
        </is>
      </c>
      <c r="B14" s="2" t="n">
        <v>3</v>
      </c>
      <c r="C14" s="2" t="n">
        <v>3</v>
      </c>
      <c r="D14" s="2" t="n">
        <v>2</v>
      </c>
      <c r="E14" s="2" t="n">
        <v>1</v>
      </c>
      <c r="F14" s="2" t="n">
        <v>2</v>
      </c>
      <c r="G14" s="2" t="n">
        <v>4</v>
      </c>
      <c r="H14" s="2" t="n">
        <v>5</v>
      </c>
      <c r="I14" s="2" t="n">
        <v>3</v>
      </c>
      <c r="J14" s="2" t="n">
        <v>2</v>
      </c>
      <c r="K14" s="2" t="n">
        <v>1</v>
      </c>
      <c r="L14" s="3">
        <f>((B14-1)+(5-C14)+(D14-1)+(5-E14)+(F14-1)+(5-G14)+(H14-1)+(5-I14)+(J14-1)+(5-K14))*2.5</f>
        <v/>
      </c>
    </row>
    <row r="15">
      <c r="A15" s="2" t="inlineStr">
        <is>
          <t>P14</t>
        </is>
      </c>
      <c r="B15" s="2" t="n">
        <v>3</v>
      </c>
      <c r="C15" s="2" t="n">
        <v>2</v>
      </c>
      <c r="D15" s="2" t="n">
        <v>4</v>
      </c>
      <c r="E15" s="2" t="n">
        <v>1</v>
      </c>
      <c r="F15" s="2" t="n">
        <v>4</v>
      </c>
      <c r="G15" s="2" t="n">
        <v>2</v>
      </c>
      <c r="H15" s="2" t="n">
        <v>4</v>
      </c>
      <c r="I15" s="2" t="n">
        <v>2</v>
      </c>
      <c r="J15" s="2" t="n">
        <v>4</v>
      </c>
      <c r="K15" s="2" t="n">
        <v>1</v>
      </c>
      <c r="L15" s="3">
        <f>((B15-1)+(5-C15)+(D15-1)+(5-E15)+(F15-1)+(5-G15)+(H15-1)+(5-I15)+(J15-1)+(5-K15))*2.5</f>
        <v/>
      </c>
    </row>
    <row r="16">
      <c r="A16" s="2" t="inlineStr">
        <is>
          <t>P15</t>
        </is>
      </c>
      <c r="B16" s="2" t="n">
        <v>2</v>
      </c>
      <c r="C16" s="2" t="n">
        <v>1</v>
      </c>
      <c r="D16" s="2" t="n">
        <v>4</v>
      </c>
      <c r="E16" s="2" t="n">
        <v>1</v>
      </c>
      <c r="F16" s="2" t="n">
        <v>2</v>
      </c>
      <c r="G16" s="2" t="n">
        <v>1</v>
      </c>
      <c r="H16" s="2" t="n">
        <v>4</v>
      </c>
      <c r="I16" s="2" t="n">
        <v>3</v>
      </c>
      <c r="J16" s="2" t="n">
        <v>3</v>
      </c>
      <c r="K16" s="2" t="n">
        <v>2</v>
      </c>
      <c r="L16" s="3">
        <f>((B16-1)+(5-C16)+(D16-1)+(5-E16)+(F16-1)+(5-G16)+(H16-1)+(5-I16)+(J16-1)+(5-K16))*2.5</f>
        <v/>
      </c>
    </row>
    <row r="17">
      <c r="A17" s="2" t="inlineStr">
        <is>
          <t>P16</t>
        </is>
      </c>
      <c r="B17" s="2" t="n">
        <v>3</v>
      </c>
      <c r="C17" s="2" t="n">
        <v>1</v>
      </c>
      <c r="D17" s="2" t="n">
        <v>3</v>
      </c>
      <c r="E17" s="2" t="n">
        <v>2</v>
      </c>
      <c r="F17" s="2" t="n">
        <v>4</v>
      </c>
      <c r="G17" s="2" t="n">
        <v>2</v>
      </c>
      <c r="H17" s="2" t="n">
        <v>5</v>
      </c>
      <c r="I17" s="2" t="n">
        <v>3</v>
      </c>
      <c r="J17" s="2" t="n">
        <v>4</v>
      </c>
      <c r="K17" s="2" t="n">
        <v>3</v>
      </c>
      <c r="L17" s="3">
        <f>((B17-1)+(5-C17)+(D17-1)+(5-E17)+(F17-1)+(5-G17)+(H17-1)+(5-I17)+(J17-1)+(5-K17))*2.5</f>
        <v/>
      </c>
    </row>
    <row r="18">
      <c r="A18" s="2" t="inlineStr">
        <is>
          <t>P17</t>
        </is>
      </c>
      <c r="B18" s="2" t="n">
        <v>3</v>
      </c>
      <c r="C18" s="2" t="n">
        <v>4</v>
      </c>
      <c r="D18" s="2" t="n">
        <v>3</v>
      </c>
      <c r="E18" s="2" t="n">
        <v>2</v>
      </c>
      <c r="F18" s="2" t="n">
        <v>2</v>
      </c>
      <c r="G18" s="2" t="n">
        <v>2</v>
      </c>
      <c r="H18" s="2" t="n">
        <v>1</v>
      </c>
      <c r="I18" s="2" t="n">
        <v>2</v>
      </c>
      <c r="J18" s="2" t="n">
        <v>3</v>
      </c>
      <c r="K18" s="2" t="n">
        <v>4</v>
      </c>
      <c r="L18" s="3">
        <f>((B18-1)+(5-C18)+(D18-1)+(5-E18)+(F18-1)+(5-G18)+(H18-1)+(5-I18)+(J18-1)+(5-K18))*2.5</f>
        <v/>
      </c>
    </row>
    <row r="19">
      <c r="A19" s="2" t="inlineStr">
        <is>
          <t>P18</t>
        </is>
      </c>
      <c r="B19" s="2" t="n">
        <v>4</v>
      </c>
      <c r="C19" s="2" t="n">
        <v>1</v>
      </c>
      <c r="D19" s="2" t="n">
        <v>3</v>
      </c>
      <c r="E19" s="2" t="n">
        <v>1</v>
      </c>
      <c r="F19" s="2" t="n">
        <v>5</v>
      </c>
      <c r="G19" s="2" t="n">
        <v>1</v>
      </c>
      <c r="H19" s="2" t="n">
        <v>4</v>
      </c>
      <c r="I19" s="2" t="n">
        <v>3</v>
      </c>
      <c r="J19" s="2" t="n">
        <v>2</v>
      </c>
      <c r="K19" s="2" t="n">
        <v>1</v>
      </c>
      <c r="L19" s="3">
        <f>((B19-1)+(5-C19)+(D19-1)+(5-E19)+(F19-1)+(5-G19)+(H19-1)+(5-I19)+(J19-1)+(5-K19))*2.5</f>
        <v/>
      </c>
    </row>
    <row r="20">
      <c r="A20" s="2" t="inlineStr">
        <is>
          <t>P19</t>
        </is>
      </c>
      <c r="B20" s="2" t="n">
        <v>1</v>
      </c>
      <c r="C20" s="2" t="n">
        <v>2</v>
      </c>
      <c r="D20" s="2" t="n">
        <v>3</v>
      </c>
      <c r="E20" s="2" t="n">
        <v>2</v>
      </c>
      <c r="F20" s="2" t="n">
        <v>4</v>
      </c>
      <c r="G20" s="2" t="n">
        <v>2</v>
      </c>
      <c r="H20" s="2" t="n">
        <v>1</v>
      </c>
      <c r="I20" s="2" t="n">
        <v>1</v>
      </c>
      <c r="J20" s="2" t="n">
        <v>4</v>
      </c>
      <c r="K20" s="2" t="n">
        <v>4</v>
      </c>
      <c r="L20" s="3">
        <f>((B20-1)+(5-C20)+(D20-1)+(5-E20)+(F20-1)+(5-G20)+(H20-1)+(5-I20)+(J20-1)+(5-K20))*2.5</f>
        <v/>
      </c>
    </row>
    <row r="21">
      <c r="A21" s="2" t="inlineStr">
        <is>
          <t>P20</t>
        </is>
      </c>
      <c r="B21" s="2" t="n">
        <v>1</v>
      </c>
      <c r="C21" s="2" t="n">
        <v>5</v>
      </c>
      <c r="D21" s="2" t="n">
        <v>2</v>
      </c>
      <c r="E21" s="2" t="n">
        <v>5</v>
      </c>
      <c r="F21" s="2" t="n">
        <v>1</v>
      </c>
      <c r="G21" s="2" t="n">
        <v>3</v>
      </c>
      <c r="H21" s="2" t="n">
        <v>4</v>
      </c>
      <c r="I21" s="2" t="n">
        <v>5</v>
      </c>
      <c r="J21" s="2" t="n">
        <v>1</v>
      </c>
      <c r="K21" s="2" t="n">
        <v>5</v>
      </c>
      <c r="L21" s="3">
        <f>((B21-1)+(5-C21)+(D21-1)+(5-E21)+(F21-1)+(5-G21)+(H21-1)+(5-I21)+(J21-1)+(5-K21))*2.5</f>
        <v/>
      </c>
    </row>
    <row r="22">
      <c r="A22" s="2" t="inlineStr">
        <is>
          <t>P21</t>
        </is>
      </c>
      <c r="B22" s="2" t="n">
        <v>2</v>
      </c>
      <c r="C22" s="2" t="n">
        <v>2</v>
      </c>
      <c r="D22" s="2" t="n">
        <v>4</v>
      </c>
      <c r="E22" s="2" t="n">
        <v>4</v>
      </c>
      <c r="F22" s="2" t="n">
        <v>2</v>
      </c>
      <c r="G22" s="2" t="n">
        <v>2</v>
      </c>
      <c r="H22" s="2" t="n">
        <v>4</v>
      </c>
      <c r="I22" s="2" t="n">
        <v>2</v>
      </c>
      <c r="J22" s="2" t="n">
        <v>1</v>
      </c>
      <c r="K22" s="2" t="n">
        <v>4</v>
      </c>
      <c r="L22" s="3">
        <f>((B22-1)+(5-C22)+(D22-1)+(5-E22)+(F22-1)+(5-G22)+(H22-1)+(5-I22)+(J22-1)+(5-K22))*2.5</f>
        <v/>
      </c>
    </row>
    <row r="23">
      <c r="A23" s="2" t="inlineStr">
        <is>
          <t>P22</t>
        </is>
      </c>
      <c r="B23" s="2" t="n">
        <v>3</v>
      </c>
      <c r="C23" s="2" t="n">
        <v>2</v>
      </c>
      <c r="D23" s="2" t="n">
        <v>3</v>
      </c>
      <c r="E23" s="2" t="n">
        <v>2</v>
      </c>
      <c r="F23" s="2" t="n">
        <v>3</v>
      </c>
      <c r="G23" s="2" t="n">
        <v>1</v>
      </c>
      <c r="H23" s="2" t="n">
        <v>2</v>
      </c>
      <c r="I23" s="2" t="n">
        <v>1</v>
      </c>
      <c r="J23" s="2" t="n">
        <v>4</v>
      </c>
      <c r="K23" s="2" t="n">
        <v>1</v>
      </c>
      <c r="L23" s="3">
        <f>((B23-1)+(5-C23)+(D23-1)+(5-E23)+(F23-1)+(5-G23)+(H23-1)+(5-I23)+(J23-1)+(5-K23))*2.5</f>
        <v/>
      </c>
    </row>
    <row r="24">
      <c r="A24" s="4" t="inlineStr">
        <is>
          <t>Mean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6">
        <f>AVERAGE(L2:L23)</f>
        <v/>
      </c>
    </row>
    <row r="25">
      <c r="A25" s="4" t="inlineStr">
        <is>
          <t>SD (population, n=22)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6">
        <f>STDEVP(L2:L23)</f>
        <v/>
      </c>
    </row>
    <row r="26">
      <c r="A26" s="4" t="inlineStr">
        <is>
          <t>Median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>
        <f>MEDIAN(L2:L23)</f>
        <v/>
      </c>
    </row>
    <row r="27">
      <c r="A27" s="4" t="inlineStr">
        <is>
          <t>Min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6">
        <f>MIN(L2:L23)</f>
        <v/>
      </c>
    </row>
    <row r="28">
      <c r="A28" s="4" t="inlineStr">
        <is>
          <t>Max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6">
        <f>MAX(L2:L23)</f>
        <v/>
      </c>
    </row>
    <row r="30" ht="32" customHeight="1">
      <c r="A30" s="7" t="inlineStr">
        <is>
          <t>Scoring: odd items = (score − 1); even items = (5 − score); SUS = sum × 2.5. Scale: 0–100. SD uses population formula (÷ n). Participants ordered P01–P22 as in supplementary materials.</t>
        </is>
      </c>
    </row>
  </sheetData>
  <mergeCells count="1"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2026-04-08T07:57:02Z</dcterms:created>
  <dcterms:modified xsi:type="dcterms:W3CDTF">2026-04-08T07:57:02Z</dcterms:modified>
</cp:coreProperties>
</file>