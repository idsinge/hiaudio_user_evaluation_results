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SA-TLX Raw 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left"/>
    </xf>
    <xf numFmtId="0" fontId="2" fillId="4" borderId="1" applyAlignment="1" pivotButton="0" quotePrefix="0" xfId="0">
      <alignment horizontal="center"/>
    </xf>
    <xf numFmtId="0" fontId="0" fillId="4" borderId="1" pivotButton="0" quotePrefix="0" xfId="0"/>
    <xf numFmtId="0" fontId="3" fillId="5" borderId="1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20" customWidth="1" min="5" max="5"/>
    <col width="12" customWidth="1" min="6" max="6"/>
    <col width="14" customWidth="1" min="7" max="7"/>
    <col width="14" customWidth="1" min="8" max="8"/>
  </cols>
  <sheetData>
    <row r="1" ht="56" customHeight="1">
      <c r="A1" s="1" t="inlineStr">
        <is>
          <t>Participant</t>
        </is>
      </c>
      <c r="B1" s="1" t="inlineStr">
        <is>
          <t>Mental Demand
(0=Low, 100=High)</t>
        </is>
      </c>
      <c r="C1" s="1" t="inlineStr">
        <is>
          <t>Physical Demand
(0=Low, 100=High)</t>
        </is>
      </c>
      <c r="D1" s="1" t="inlineStr">
        <is>
          <t>Temporal Demand
(0=Low, 100=High)</t>
        </is>
      </c>
      <c r="E1" s="1" t="inlineStr">
        <is>
          <t>Own Performance
(raw: 0=Low, 100=High)
[inverted in Raw Score]</t>
        </is>
      </c>
      <c r="F1" s="1" t="inlineStr">
        <is>
          <t>Effort
(0=Low, 100=High)</t>
        </is>
      </c>
      <c r="G1" s="1" t="inlineStr">
        <is>
          <t>Frustration
(0=Low, 100=High)</t>
        </is>
      </c>
      <c r="H1" s="1" t="inlineStr">
        <is>
          <t>Raw Score
(unweighted mean,
Perf. inverted)</t>
        </is>
      </c>
    </row>
    <row r="2">
      <c r="A2" s="2" t="inlineStr">
        <is>
          <t>P01</t>
        </is>
      </c>
      <c r="B2" s="2" t="n">
        <v>52</v>
      </c>
      <c r="C2" s="2" t="n">
        <v>33</v>
      </c>
      <c r="D2" s="2" t="n">
        <v>30</v>
      </c>
      <c r="E2" s="2" t="n">
        <v>54</v>
      </c>
      <c r="F2" s="2" t="n">
        <v>28</v>
      </c>
      <c r="G2" s="2" t="n">
        <v>21</v>
      </c>
      <c r="H2" s="3">
        <f>(B2+C2+D2+(100-E2)+F2+G2)/6</f>
        <v/>
      </c>
    </row>
    <row r="3">
      <c r="A3" s="2" t="inlineStr">
        <is>
          <t>P02</t>
        </is>
      </c>
      <c r="B3" s="2" t="n">
        <v>50</v>
      </c>
      <c r="C3" s="2" t="n">
        <v>5</v>
      </c>
      <c r="D3" s="2" t="n">
        <v>30</v>
      </c>
      <c r="E3" s="2" t="n">
        <v>40</v>
      </c>
      <c r="F3" s="2" t="n">
        <v>75</v>
      </c>
      <c r="G3" s="2" t="n">
        <v>60</v>
      </c>
      <c r="H3" s="3">
        <f>(B3+C3+D3+(100-E3)+F3+G3)/6</f>
        <v/>
      </c>
    </row>
    <row r="4">
      <c r="A4" s="2" t="inlineStr">
        <is>
          <t>P03</t>
        </is>
      </c>
      <c r="B4" s="2" t="n">
        <v>30</v>
      </c>
      <c r="C4" s="2" t="n">
        <v>12</v>
      </c>
      <c r="D4" s="2" t="n">
        <v>25</v>
      </c>
      <c r="E4" s="2" t="n">
        <v>79</v>
      </c>
      <c r="F4" s="2" t="n">
        <v>57</v>
      </c>
      <c r="G4" s="2" t="n">
        <v>87</v>
      </c>
      <c r="H4" s="3">
        <f>(B4+C4+D4+(100-E4)+F4+G4)/6</f>
        <v/>
      </c>
    </row>
    <row r="5">
      <c r="A5" s="2" t="inlineStr">
        <is>
          <t>P04</t>
        </is>
      </c>
      <c r="B5" s="2" t="n">
        <v>59</v>
      </c>
      <c r="C5" s="2" t="n">
        <v>0</v>
      </c>
      <c r="D5" s="2" t="n">
        <v>50</v>
      </c>
      <c r="E5" s="2" t="n">
        <v>91</v>
      </c>
      <c r="F5" s="2" t="n">
        <v>66</v>
      </c>
      <c r="G5" s="2" t="n">
        <v>92</v>
      </c>
      <c r="H5" s="3">
        <f>(B5+C5+D5+(100-E5)+F5+G5)/6</f>
        <v/>
      </c>
    </row>
    <row r="6">
      <c r="A6" s="2" t="inlineStr">
        <is>
          <t>P05</t>
        </is>
      </c>
      <c r="B6" s="2" t="n">
        <v>19</v>
      </c>
      <c r="C6" s="2" t="n">
        <v>13</v>
      </c>
      <c r="D6" s="2" t="n">
        <v>43</v>
      </c>
      <c r="E6" s="2" t="n">
        <v>50</v>
      </c>
      <c r="F6" s="2" t="n">
        <v>64</v>
      </c>
      <c r="G6" s="2" t="n">
        <v>27</v>
      </c>
      <c r="H6" s="3">
        <f>(B6+C6+D6+(100-E6)+F6+G6)/6</f>
        <v/>
      </c>
    </row>
    <row r="7">
      <c r="A7" s="2" t="inlineStr">
        <is>
          <t>P06</t>
        </is>
      </c>
      <c r="B7" s="2" t="n">
        <v>80</v>
      </c>
      <c r="C7" s="2" t="n">
        <v>15</v>
      </c>
      <c r="D7" s="2" t="n">
        <v>31</v>
      </c>
      <c r="E7" s="2" t="n">
        <v>89</v>
      </c>
      <c r="F7" s="2" t="n">
        <v>69</v>
      </c>
      <c r="G7" s="2" t="n">
        <v>16</v>
      </c>
      <c r="H7" s="3">
        <f>(B7+C7+D7+(100-E7)+F7+G7)/6</f>
        <v/>
      </c>
    </row>
    <row r="8">
      <c r="A8" s="2" t="inlineStr">
        <is>
          <t>P07</t>
        </is>
      </c>
      <c r="B8" s="2" t="n">
        <v>65</v>
      </c>
      <c r="C8" s="2" t="n">
        <v>21</v>
      </c>
      <c r="D8" s="2" t="n">
        <v>31</v>
      </c>
      <c r="E8" s="2" t="n">
        <v>41</v>
      </c>
      <c r="F8" s="2" t="n">
        <v>50</v>
      </c>
      <c r="G8" s="2" t="n">
        <v>71</v>
      </c>
      <c r="H8" s="3">
        <f>(B8+C8+D8+(100-E8)+F8+G8)/6</f>
        <v/>
      </c>
    </row>
    <row r="9">
      <c r="A9" s="2" t="inlineStr">
        <is>
          <t>P08</t>
        </is>
      </c>
      <c r="B9" s="2" t="n">
        <v>0</v>
      </c>
      <c r="C9" s="2" t="n">
        <v>0</v>
      </c>
      <c r="D9" s="2" t="n">
        <v>10</v>
      </c>
      <c r="E9" s="2" t="n">
        <v>100</v>
      </c>
      <c r="F9" s="2" t="n">
        <v>0</v>
      </c>
      <c r="G9" s="2" t="n">
        <v>0</v>
      </c>
      <c r="H9" s="3">
        <f>(B9+C9+D9+(100-E9)+F9+G9)/6</f>
        <v/>
      </c>
    </row>
    <row r="10">
      <c r="A10" s="2" t="inlineStr">
        <is>
          <t>P09</t>
        </is>
      </c>
      <c r="B10" s="2" t="n">
        <v>72</v>
      </c>
      <c r="C10" s="2" t="n">
        <v>29</v>
      </c>
      <c r="D10" s="2" t="n">
        <v>27</v>
      </c>
      <c r="E10" s="2" t="n">
        <v>23</v>
      </c>
      <c r="F10" s="2" t="n">
        <v>10</v>
      </c>
      <c r="G10" s="2" t="n">
        <v>77</v>
      </c>
      <c r="H10" s="3">
        <f>(B10+C10+D10+(100-E10)+F10+G10)/6</f>
        <v/>
      </c>
    </row>
    <row r="11">
      <c r="A11" s="2" t="inlineStr">
        <is>
          <t>P10</t>
        </is>
      </c>
      <c r="B11" s="2" t="n">
        <v>75</v>
      </c>
      <c r="C11" s="2" t="n">
        <v>0</v>
      </c>
      <c r="D11" s="2" t="n">
        <v>50</v>
      </c>
      <c r="E11" s="2" t="n">
        <v>100</v>
      </c>
      <c r="F11" s="2" t="n">
        <v>0</v>
      </c>
      <c r="G11" s="2" t="n">
        <v>25</v>
      </c>
      <c r="H11" s="3">
        <f>(B11+C11+D11+(100-E11)+F11+G11)/6</f>
        <v/>
      </c>
    </row>
    <row r="12">
      <c r="A12" s="2" t="inlineStr">
        <is>
          <t>P11</t>
        </is>
      </c>
      <c r="B12" s="2" t="n">
        <v>50</v>
      </c>
      <c r="C12" s="2" t="n">
        <v>53</v>
      </c>
      <c r="D12" s="2" t="n">
        <v>0</v>
      </c>
      <c r="E12" s="2" t="n">
        <v>82</v>
      </c>
      <c r="F12" s="2" t="n">
        <v>21</v>
      </c>
      <c r="G12" s="2" t="n">
        <v>0</v>
      </c>
      <c r="H12" s="3">
        <f>(B12+C12+D12+(100-E12)+F12+G12)/6</f>
        <v/>
      </c>
    </row>
    <row r="13">
      <c r="A13" s="2" t="inlineStr">
        <is>
          <t>P12</t>
        </is>
      </c>
      <c r="B13" s="2" t="n">
        <v>90</v>
      </c>
      <c r="C13" s="2" t="n">
        <v>1</v>
      </c>
      <c r="D13" s="2" t="n">
        <v>37</v>
      </c>
      <c r="E13" s="2" t="n">
        <v>75</v>
      </c>
      <c r="F13" s="2" t="n">
        <v>72</v>
      </c>
      <c r="G13" s="2" t="n">
        <v>59</v>
      </c>
      <c r="H13" s="3">
        <f>(B13+C13+D13+(100-E13)+F13+G13)/6</f>
        <v/>
      </c>
    </row>
    <row r="14">
      <c r="A14" s="2" t="inlineStr">
        <is>
          <t>P13</t>
        </is>
      </c>
      <c r="B14" s="2" t="n">
        <v>65</v>
      </c>
      <c r="C14" s="2" t="n">
        <v>10</v>
      </c>
      <c r="D14" s="2" t="n">
        <v>20</v>
      </c>
      <c r="E14" s="2" t="n">
        <v>65</v>
      </c>
      <c r="F14" s="2" t="n">
        <v>70</v>
      </c>
      <c r="G14" s="2" t="n">
        <v>85</v>
      </c>
      <c r="H14" s="3">
        <f>(B14+C14+D14+(100-E14)+F14+G14)/6</f>
        <v/>
      </c>
    </row>
    <row r="15">
      <c r="A15" s="2" t="inlineStr">
        <is>
          <t>P14</t>
        </is>
      </c>
      <c r="B15" s="2" t="n">
        <v>17</v>
      </c>
      <c r="C15" s="2" t="n">
        <v>4</v>
      </c>
      <c r="D15" s="2" t="n">
        <v>21</v>
      </c>
      <c r="E15" s="2" t="n">
        <v>82</v>
      </c>
      <c r="F15" s="2" t="n">
        <v>18</v>
      </c>
      <c r="G15" s="2" t="n">
        <v>15</v>
      </c>
      <c r="H15" s="3">
        <f>(B15+C15+D15+(100-E15)+F15+G15)/6</f>
        <v/>
      </c>
    </row>
    <row r="16">
      <c r="A16" s="2" t="inlineStr">
        <is>
          <t>P15</t>
        </is>
      </c>
      <c r="B16" s="2" t="n">
        <v>30</v>
      </c>
      <c r="C16" s="2" t="n">
        <v>20</v>
      </c>
      <c r="D16" s="2" t="n">
        <v>20</v>
      </c>
      <c r="E16" s="2" t="n">
        <v>80</v>
      </c>
      <c r="F16" s="2" t="n">
        <v>30</v>
      </c>
      <c r="G16" s="2" t="n">
        <v>30</v>
      </c>
      <c r="H16" s="3">
        <f>(B16+C16+D16+(100-E16)+F16+G16)/6</f>
        <v/>
      </c>
    </row>
    <row r="17">
      <c r="A17" s="2" t="inlineStr">
        <is>
          <t>P16</t>
        </is>
      </c>
      <c r="B17" s="2" t="n">
        <v>37</v>
      </c>
      <c r="C17" s="2" t="n">
        <v>7</v>
      </c>
      <c r="D17" s="2" t="n">
        <v>60</v>
      </c>
      <c r="E17" s="2" t="n">
        <v>11</v>
      </c>
      <c r="F17" s="2" t="n">
        <v>19</v>
      </c>
      <c r="G17" s="2" t="n">
        <v>46</v>
      </c>
      <c r="H17" s="3">
        <f>(B17+C17+D17+(100-E17)+F17+G17)/6</f>
        <v/>
      </c>
    </row>
    <row r="18">
      <c r="A18" s="2" t="inlineStr">
        <is>
          <t>P17</t>
        </is>
      </c>
      <c r="B18" s="2" t="n">
        <v>77</v>
      </c>
      <c r="C18" s="2" t="n">
        <v>11</v>
      </c>
      <c r="D18" s="2" t="n">
        <v>25</v>
      </c>
      <c r="E18" s="2" t="n">
        <v>74</v>
      </c>
      <c r="F18" s="2" t="n">
        <v>29</v>
      </c>
      <c r="G18" s="2" t="n">
        <v>77</v>
      </c>
      <c r="H18" s="3">
        <f>(B18+C18+D18+(100-E18)+F18+G18)/6</f>
        <v/>
      </c>
    </row>
    <row r="19">
      <c r="A19" s="2" t="inlineStr">
        <is>
          <t>P18</t>
        </is>
      </c>
      <c r="B19" s="2" t="n">
        <v>65</v>
      </c>
      <c r="C19" s="2" t="n">
        <v>0</v>
      </c>
      <c r="D19" s="2" t="n">
        <v>79</v>
      </c>
      <c r="E19" s="2" t="n">
        <v>100</v>
      </c>
      <c r="F19" s="2" t="n">
        <v>21</v>
      </c>
      <c r="G19" s="2" t="n">
        <v>55</v>
      </c>
      <c r="H19" s="3">
        <f>(B19+C19+D19+(100-E19)+F19+G19)/6</f>
        <v/>
      </c>
    </row>
    <row r="20">
      <c r="A20" s="2" t="inlineStr">
        <is>
          <t>P19</t>
        </is>
      </c>
      <c r="B20" s="2" t="n">
        <v>81</v>
      </c>
      <c r="C20" s="2" t="n">
        <v>38</v>
      </c>
      <c r="D20" s="2" t="n">
        <v>16</v>
      </c>
      <c r="E20" s="2" t="n">
        <v>16</v>
      </c>
      <c r="F20" s="2" t="n">
        <v>55</v>
      </c>
      <c r="G20" s="2" t="n">
        <v>45</v>
      </c>
      <c r="H20" s="3">
        <f>(B20+C20+D20+(100-E20)+F20+G20)/6</f>
        <v/>
      </c>
    </row>
    <row r="21">
      <c r="A21" s="2" t="inlineStr">
        <is>
          <t>P20</t>
        </is>
      </c>
      <c r="B21" s="2" t="n">
        <v>73</v>
      </c>
      <c r="C21" s="2" t="n">
        <v>45</v>
      </c>
      <c r="D21" s="2" t="n">
        <v>11</v>
      </c>
      <c r="E21" s="2" t="n">
        <v>11</v>
      </c>
      <c r="F21" s="2" t="n">
        <v>12</v>
      </c>
      <c r="G21" s="2" t="n">
        <v>9</v>
      </c>
      <c r="H21" s="3">
        <f>(B21+C21+D21+(100-E21)+F21+G21)/6</f>
        <v/>
      </c>
    </row>
    <row r="22">
      <c r="A22" s="2" t="inlineStr">
        <is>
          <t>P21</t>
        </is>
      </c>
      <c r="B22" s="2" t="n">
        <v>83</v>
      </c>
      <c r="C22" s="2" t="n">
        <v>0</v>
      </c>
      <c r="D22" s="2" t="n">
        <v>28</v>
      </c>
      <c r="E22" s="2" t="n">
        <v>0</v>
      </c>
      <c r="F22" s="2" t="n">
        <v>75</v>
      </c>
      <c r="G22" s="2" t="n">
        <v>80</v>
      </c>
      <c r="H22" s="3">
        <f>(B22+C22+D22+(100-E22)+F22+G22)/6</f>
        <v/>
      </c>
    </row>
    <row r="23">
      <c r="A23" s="2" t="inlineStr">
        <is>
          <t>P22</t>
        </is>
      </c>
      <c r="B23" s="2" t="n">
        <v>26</v>
      </c>
      <c r="C23" s="2" t="n">
        <v>11</v>
      </c>
      <c r="D23" s="2" t="n">
        <v>16</v>
      </c>
      <c r="E23" s="2" t="n">
        <v>33</v>
      </c>
      <c r="F23" s="2" t="n">
        <v>14</v>
      </c>
      <c r="G23" s="2" t="n">
        <v>2</v>
      </c>
      <c r="H23" s="3">
        <f>(B23+C23+D23+(100-E23)+F23+G23)/6</f>
        <v/>
      </c>
    </row>
    <row r="24">
      <c r="A24" s="4" t="inlineStr">
        <is>
          <t>Dimension mean (n=22)</t>
        </is>
      </c>
      <c r="B24" s="5">
        <f>AVERAGE(B2:B23)</f>
        <v/>
      </c>
      <c r="C24" s="5">
        <f>AVERAGE(C2:C23)</f>
        <v/>
      </c>
      <c r="D24" s="5">
        <f>AVERAGE(D2:D23)</f>
        <v/>
      </c>
      <c r="E24" s="5">
        <f>AVERAGE(E2:E23)</f>
        <v/>
      </c>
      <c r="F24" s="5">
        <f>AVERAGE(F2:F23)</f>
        <v/>
      </c>
      <c r="G24" s="5">
        <f>AVERAGE(G2:G23)</f>
        <v/>
      </c>
      <c r="H24" s="5">
        <f>AVERAGE(H2:H23)</f>
        <v/>
      </c>
    </row>
    <row r="25">
      <c r="A25" s="4" t="inlineStr">
        <is>
          <t>SD (participants, sample)</t>
        </is>
      </c>
      <c r="B25" s="5">
        <f>STDEV(B2:B23)</f>
        <v/>
      </c>
      <c r="C25" s="5">
        <f>STDEV(C2:C23)</f>
        <v/>
      </c>
      <c r="D25" s="5">
        <f>STDEV(D2:D23)</f>
        <v/>
      </c>
      <c r="E25" s="5">
        <f>STDEV(E2:E23)</f>
        <v/>
      </c>
      <c r="F25" s="5">
        <f>STDEV(F2:F23)</f>
        <v/>
      </c>
      <c r="G25" s="5">
        <f>STDEV(G2:G23)</f>
        <v/>
      </c>
      <c r="H25" s="5">
        <f>STDEV(H2:H23)</f>
        <v/>
      </c>
    </row>
    <row r="26" ht="30" customHeight="1">
      <c r="A26" s="4" t="inlineStr">
        <is>
          <t>SD of dim. means
(as in README)</t>
        </is>
      </c>
      <c r="B26" s="6" t="n"/>
      <c r="C26" s="6" t="n"/>
      <c r="D26" s="6" t="n"/>
      <c r="E26" s="6" t="n"/>
      <c r="F26" s="6" t="n"/>
      <c r="G26" s="6" t="n"/>
      <c r="H26" s="5">
        <f>STDEV(B24,C24,D24,(100-E24),F24,G24)</f>
        <v/>
      </c>
    </row>
    <row r="28" ht="45" customHeight="1">
      <c r="A28" s="7" t="inlineStr">
        <is>
          <t>Raw Score = unweighted mean of 6 dimensions; Own Performance is inverted (100 − value) before averaging so that higher values reflect higher workload across all dimensions. 'SD of dim. means' uses sample SD of the 6 dimension means (with Performance inverted) — this matches the SD=13.5 reported in the README. Participants ordered P01–P22 as in supplementary materials.</t>
        </is>
      </c>
    </row>
  </sheetData>
  <mergeCells count="1">
    <mergeCell ref="A28:H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2026-04-08T07:57:02Z</dcterms:created>
  <dcterms:modified xsi:type="dcterms:W3CDTF">2026-04-08T07:57:02Z</dcterms:modified>
</cp:coreProperties>
</file>